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learwateranalytics-my.sharepoint.com/personal/matthewray_clearwateranalytics_com/Documents/Desktop/Ladder/Python/Loan_Orig_CPD/inputs/"/>
    </mc:Choice>
  </mc:AlternateContent>
  <xr:revisionPtr revIDLastSave="0" documentId="8_{29D41CA4-0D12-450A-B954-FE8A449BD9B5}" xr6:coauthVersionLast="47" xr6:coauthVersionMax="47" xr10:uidLastSave="{00000000-0000-0000-0000-000000000000}"/>
  <bookViews>
    <workbookView xWindow="-120" yWindow="-120" windowWidth="29040" windowHeight="15720" xr2:uid="{1F4EA2B5-F413-40F7-9F36-045BF3D30332}"/>
  </bookViews>
  <sheets>
    <sheet name="Origination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R3" i="1" l="1"/>
</calcChain>
</file>

<file path=xl/sharedStrings.xml><?xml version="1.0" encoding="utf-8"?>
<sst xmlns="http://schemas.openxmlformats.org/spreadsheetml/2006/main" count="153" uniqueCount="118">
  <si>
    <t>Coupon Terms</t>
  </si>
  <si>
    <t>Floating Rate Loans Only</t>
  </si>
  <si>
    <t>Amort Info</t>
  </si>
  <si>
    <t>Property Info</t>
  </si>
  <si>
    <t>Fee Info</t>
  </si>
  <si>
    <t>Originator Data</t>
  </si>
  <si>
    <t>Reference</t>
  </si>
  <si>
    <t>Identifier</t>
  </si>
  <si>
    <t>Description</t>
  </si>
  <si>
    <t>Currency</t>
  </si>
  <si>
    <t>CountryDomicile</t>
  </si>
  <si>
    <t>IssueDate</t>
  </si>
  <si>
    <t>MaturityDate</t>
  </si>
  <si>
    <t>ExtendedMaturity_1</t>
  </si>
  <si>
    <t>ExtendedMaturity_2</t>
  </si>
  <si>
    <t>ExtendedMaturity_3</t>
  </si>
  <si>
    <t>ExtendedMaturity_4</t>
  </si>
  <si>
    <t>FinalMaturityDate</t>
  </si>
  <si>
    <t>AccrIntDate</t>
  </si>
  <si>
    <t>FirstCouponDate</t>
  </si>
  <si>
    <t>AuthorizedAmount</t>
  </si>
  <si>
    <t>OriginalPrincipalAmount</t>
  </si>
  <si>
    <t>Unfunded</t>
  </si>
  <si>
    <t>CW Account Number</t>
  </si>
  <si>
    <t>CW Account Name</t>
  </si>
  <si>
    <t>HFS_HFI</t>
  </si>
  <si>
    <t>Mezzanine</t>
  </si>
  <si>
    <t>Cross-Collateralized</t>
  </si>
  <si>
    <t>Intercompany</t>
  </si>
  <si>
    <t>DayCount</t>
  </si>
  <si>
    <t>CouponFrequency</t>
  </si>
  <si>
    <t>CouponRate</t>
  </si>
  <si>
    <t>CouponType</t>
  </si>
  <si>
    <t>CouponPayDay</t>
  </si>
  <si>
    <t>PaymentDelay</t>
  </si>
  <si>
    <t>ReferenceIndex</t>
  </si>
  <si>
    <t>CouponResetFrequency</t>
  </si>
  <si>
    <t>IndexOffset</t>
  </si>
  <si>
    <t>IndexRounding</t>
  </si>
  <si>
    <t>IndexRoundingInterval</t>
  </si>
  <si>
    <t>FloaterSpread</t>
  </si>
  <si>
    <t>IndexFloor</t>
  </si>
  <si>
    <t>RateCapNotional</t>
  </si>
  <si>
    <t>RateCapStrike</t>
  </si>
  <si>
    <t>RateCapMaturity</t>
  </si>
  <si>
    <t>AmortizationType</t>
  </si>
  <si>
    <t>IO Period</t>
  </si>
  <si>
    <t>Amortization Period</t>
  </si>
  <si>
    <t>CREFC Property Type</t>
  </si>
  <si>
    <t>City</t>
  </si>
  <si>
    <t>State</t>
  </si>
  <si>
    <t>PostalCode</t>
  </si>
  <si>
    <t>Stub Interest</t>
  </si>
  <si>
    <t>Origination Fee</t>
  </si>
  <si>
    <t>App Deposit</t>
  </si>
  <si>
    <t>UW Fee</t>
  </si>
  <si>
    <t>Processing Fee</t>
  </si>
  <si>
    <t>Broker Fee</t>
  </si>
  <si>
    <t>Rate Lock Fee</t>
  </si>
  <si>
    <t>Misc Expenses</t>
  </si>
  <si>
    <t>Originator_1</t>
  </si>
  <si>
    <t>Originator_1%</t>
  </si>
  <si>
    <t>Originator_2</t>
  </si>
  <si>
    <t>Originator_2%</t>
  </si>
  <si>
    <t>Originator_3</t>
  </si>
  <si>
    <t>Originator_3%</t>
  </si>
  <si>
    <t>Closing Counsel</t>
  </si>
  <si>
    <t>Issuer</t>
  </si>
  <si>
    <t>Sponsor</t>
  </si>
  <si>
    <t>Broker</t>
  </si>
  <si>
    <t>Loan Purpose</t>
  </si>
  <si>
    <t>GL Portfolio Code</t>
  </si>
  <si>
    <t>Amort_Start_Date</t>
  </si>
  <si>
    <t>Amort_End_Date</t>
  </si>
  <si>
    <t>[Servicer Fee]</t>
  </si>
  <si>
    <t>Next_Month_End</t>
  </si>
  <si>
    <t>Prepaid Interest at Next Month End</t>
  </si>
  <si>
    <t>Cash Wire</t>
  </si>
  <si>
    <t>USD</t>
  </si>
  <si>
    <t>US</t>
  </si>
  <si>
    <t>HFI</t>
  </si>
  <si>
    <t>NO</t>
  </si>
  <si>
    <t>ACT/360</t>
  </si>
  <si>
    <t>Monthly</t>
  </si>
  <si>
    <t>Floating</t>
  </si>
  <si>
    <t>1M Term SOFR</t>
  </si>
  <si>
    <t>UP</t>
  </si>
  <si>
    <t>FULL_IO</t>
  </si>
  <si>
    <t>Acquisition</t>
  </si>
  <si>
    <t>MF</t>
  </si>
  <si>
    <t>Adam Siper</t>
  </si>
  <si>
    <t>LCF-WF Servicing</t>
  </si>
  <si>
    <t>BAL-250916-01</t>
  </si>
  <si>
    <t>1530 Wilson Blvd</t>
  </si>
  <si>
    <t>OF</t>
  </si>
  <si>
    <t>Arlington</t>
  </si>
  <si>
    <t>VA</t>
  </si>
  <si>
    <t>Marc Waldman</t>
  </si>
  <si>
    <t>Seyfarth Shaw</t>
  </si>
  <si>
    <t>JEMAL’S 1530 WILSON LANDOWNER LLC, GTW GRANARY LANDOWNER LLC</t>
  </si>
  <si>
    <t>Matthew Jemal</t>
  </si>
  <si>
    <t>Meridian Capital Group</t>
  </si>
  <si>
    <t>BAL-250902-01</t>
  </si>
  <si>
    <t>Cooper Park Apartments</t>
  </si>
  <si>
    <t>TX</t>
  </si>
  <si>
    <t>Michael Fife</t>
  </si>
  <si>
    <t>Frost Brown Todd</t>
  </si>
  <si>
    <t>812 Cooper Propco LLC</t>
  </si>
  <si>
    <t>Endurance Realty Capital</t>
  </si>
  <si>
    <t>Berkadia</t>
  </si>
  <si>
    <t>BAL-250813-01</t>
  </si>
  <si>
    <t>Industrial Blvd Portfolio</t>
  </si>
  <si>
    <t>IN</t>
  </si>
  <si>
    <t>Rockwall</t>
  </si>
  <si>
    <t>Mintz</t>
  </si>
  <si>
    <t>Rockwall Property Owner LLC</t>
  </si>
  <si>
    <t>PlaceMKR</t>
  </si>
  <si>
    <t>JLL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</si>
</sst>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_);\(#,##0.00\);\ #,##0.00_);\ @_)"/>
    <numFmt numFmtId="165" formatCode="0.000%_);\(0.000%\);0.000%_);@_)"/>
  </numFmts>
  <fonts count="6" x14ac:knownFonts="1">
    <font>
      <sz val="11"/>
      <color theme="1"/>
      <name val="Calibri"/>
      <family val="2"/>
    </font>
    <font>
      <sz val="11"/>
      <color rgb="FF9C5700"/>
      <name val="Aptos Narrow"/>
      <family val="2"/>
      <scheme val="minor"/>
    </font>
    <font>
      <sz val="11"/>
      <color rgb="FF006100"/>
      <name val="Calibri"/>
      <family val="2"/>
    </font>
    <font>
      <sz val="11"/>
      <color indexed="8"/>
      <name val="Calibri"/>
      <family val="2"/>
    </font>
    <font>
      <sz val="11"/>
      <color indexed="8"/>
      <name val="Aptos Narrow"/>
      <family val="2"/>
      <scheme val="minor"/>
    </font>
    <font>
      <sz val="11"/>
      <color indexed="1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1" fillId="3" borderId="0" applyNumberFormat="0" applyBorder="0" applyAlignment="0" applyProtection="0"/>
  </cellStyleXfs>
  <cellXfs count="18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3" fillId="0" borderId="0" xfId="1" applyFont="1" applyFill="1" applyAlignment="1">
      <alignment wrapText="1"/>
    </xf>
    <xf numFmtId="14" fontId="3" fillId="0" borderId="0" xfId="1" applyNumberFormat="1" applyFont="1" applyFill="1" applyAlignment="1">
      <alignment wrapText="1"/>
    </xf>
    <xf numFmtId="14" fontId="4" fillId="0" borderId="0" xfId="2" applyNumberFormat="1" applyFont="1" applyFill="1" applyAlignment="1">
      <alignment wrapText="1"/>
    </xf>
    <xf numFmtId="0" fontId="4" fillId="0" borderId="0" xfId="2" applyFont="1" applyFill="1" applyAlignment="1">
      <alignment wrapText="1"/>
    </xf>
    <xf numFmtId="0" fontId="0" fillId="0" borderId="0" xfId="0" applyAlignment="1">
      <alignment wrapText="1"/>
    </xf>
    <xf numFmtId="0" fontId="4" fillId="4" borderId="0" xfId="2" applyFont="1" applyFill="1" applyAlignment="1">
      <alignment wrapText="1"/>
    </xf>
    <xf numFmtId="165" fontId="3" fillId="0" borderId="0" xfId="0" applyNumberFormat="1" applyFont="1" applyAlignment="1">
      <alignment horizontal="right"/>
    </xf>
    <xf numFmtId="164" fontId="3" fillId="0" borderId="0" xfId="0" applyNumberFormat="1" applyFont="1" applyAlignment="1">
      <alignment horizontal="right"/>
    </xf>
    <xf numFmtId="0" fontId="3" fillId="0" borderId="0" xfId="0" applyFont="1"/>
    <xf numFmtId="39" fontId="3" fillId="0" borderId="0" xfId="0" applyNumberFormat="1" applyFont="1"/>
    <xf numFmtId="0" fontId="5" fillId="0" borderId="0" xfId="0" applyFont="1"/>
    <xf numFmtId="14" fontId="3" fillId="0" borderId="0" xfId="2" applyNumberFormat="1" applyFont="1" applyFill="1" applyAlignment="1">
      <alignment wrapText="1"/>
    </xf>
    <xf numFmtId="0" fontId="3" fillId="0" borderId="0" xfId="1" applyFont="1" applyFill="1" applyAlignment="1"/>
    <xf numFmtId="165" fontId="3" fillId="0" borderId="0" xfId="0" applyNumberFormat="1" applyFont="1"/>
  </cellXfs>
  <cellStyles count="3">
    <cellStyle name="Good" xfId="1" builtinId="26"/>
    <cellStyle name="Neutral 2" xfId="2" xr:uid="{A6D42AFD-D832-49A1-9E5B-3D30777C2EE9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F55402-EDB9-4562-A07E-E295187D6A25}">
  <dimension ref="A1:BS5"/>
  <sheetViews>
    <sheetView tabSelected="1" zoomScale="130" zoomScaleNormal="130" workbookViewId="0">
      <pane xSplit="2" ySplit="1" topLeftCell="C2" activePane="bottomRight" state="frozen"/>
      <selection pane="topRight" activeCell="C1" sqref="C1"/>
      <selection pane="bottomLeft" activeCell="A4" sqref="A4"/>
      <selection pane="bottomRight" activeCell="D4" sqref="D4"/>
    </sheetView>
  </sheetViews>
  <sheetFormatPr defaultRowHeight="15" x14ac:dyDescent="0.25"/>
  <cols>
    <col min="1" max="1" width="17.7109375" customWidth="1"/>
    <col min="2" max="2" width="25.7109375" customWidth="1"/>
    <col min="3" max="3" width="11" customWidth="1"/>
    <col min="4" max="4" width="18" customWidth="1"/>
    <col min="5" max="5" width="11.85546875" customWidth="1"/>
    <col min="6" max="6" width="15" customWidth="1"/>
    <col min="7" max="10" width="21.28515625" customWidth="1"/>
    <col min="11" max="11" width="19.28515625" customWidth="1"/>
    <col min="12" max="12" width="13.7109375" customWidth="1"/>
    <col min="13" max="13" width="18.5703125" customWidth="1"/>
    <col min="14" max="14" width="19.85546875" customWidth="1"/>
    <col min="15" max="15" width="25" customWidth="1"/>
    <col min="16" max="16" width="15.85546875" customWidth="1"/>
    <col min="17" max="17" width="21.85546875" customWidth="1"/>
    <col min="18" max="18" width="27.140625" bestFit="1" customWidth="1"/>
    <col min="19" max="19" width="11.7109375" customWidth="1"/>
    <col min="20" max="20" width="15.85546875" customWidth="1"/>
    <col min="21" max="21" width="21.7109375" customWidth="1"/>
    <col min="22" max="22" width="15.85546875" customWidth="1"/>
    <col min="23" max="23" width="11.7109375" customWidth="1"/>
    <col min="24" max="24" width="19.28515625" customWidth="1"/>
    <col min="25" max="25" width="14.42578125" customWidth="1"/>
    <col min="26" max="26" width="14.5703125" customWidth="1"/>
    <col min="27" max="27" width="16.85546875" customWidth="1"/>
    <col min="28" max="28" width="16.140625" customWidth="1"/>
    <col min="29" max="29" width="17.5703125" customWidth="1"/>
    <col min="30" max="30" width="25" customWidth="1"/>
    <col min="31" max="31" width="13.85546875" customWidth="1"/>
    <col min="32" max="32" width="16.7109375" customWidth="1"/>
    <col min="33" max="33" width="23.5703125" customWidth="1"/>
    <col min="34" max="34" width="15.7109375" customWidth="1"/>
    <col min="35" max="35" width="12.7109375" customWidth="1"/>
    <col min="36" max="36" width="18.5703125" customWidth="1"/>
    <col min="37" max="37" width="16.140625" customWidth="1"/>
    <col min="38" max="38" width="18.28515625" customWidth="1"/>
    <col min="39" max="39" width="19" customWidth="1"/>
    <col min="40" max="40" width="17" customWidth="1"/>
    <col min="41" max="41" width="21" customWidth="1"/>
    <col min="42" max="42" width="21.42578125" customWidth="1"/>
    <col min="43" max="43" width="14.85546875" customWidth="1"/>
    <col min="45" max="45" width="13.5703125" customWidth="1"/>
    <col min="46" max="46" width="14.85546875" customWidth="1"/>
    <col min="47" max="47" width="16.85546875" customWidth="1"/>
    <col min="48" max="48" width="14.140625" customWidth="1"/>
    <col min="49" max="49" width="12.7109375" customWidth="1"/>
    <col min="50" max="50" width="16.7109375" customWidth="1"/>
    <col min="51" max="51" width="12.7109375" customWidth="1"/>
    <col min="52" max="52" width="15.5703125" customWidth="1"/>
    <col min="53" max="53" width="16.42578125" customWidth="1"/>
    <col min="54" max="59" width="15.7109375" customWidth="1"/>
    <col min="60" max="60" width="17.140625" customWidth="1"/>
    <col min="61" max="64" width="25.7109375" customWidth="1"/>
    <col min="65" max="65" width="19.140625" customWidth="1"/>
    <col min="66" max="66" width="18.85546875" customWidth="1"/>
    <col min="67" max="67" width="18" customWidth="1"/>
    <col min="68" max="71" width="15.7109375" customWidth="1"/>
    <col min="72" max="72" width="13.5703125" bestFit="1" customWidth="1"/>
  </cols>
  <sheetData>
    <row r="1" spans="1:71" x14ac:dyDescent="0.25">
      <c r="W1" s="1" t="s">
        <v>0</v>
      </c>
      <c r="X1" s="2"/>
      <c r="Y1" s="2"/>
      <c r="Z1" s="2"/>
      <c r="AA1" s="2"/>
      <c r="AB1" s="2"/>
      <c r="AC1" s="1" t="s">
        <v>1</v>
      </c>
      <c r="AD1" s="2"/>
      <c r="AE1" s="2"/>
      <c r="AF1" s="2"/>
      <c r="AG1" s="2"/>
      <c r="AH1" s="2"/>
      <c r="AI1" s="2"/>
      <c r="AJ1" s="2"/>
      <c r="AK1" s="2"/>
      <c r="AL1" s="3"/>
      <c r="AM1" s="1" t="s">
        <v>2</v>
      </c>
      <c r="AN1" s="2"/>
      <c r="AO1" s="3"/>
      <c r="AP1" s="1" t="s">
        <v>3</v>
      </c>
      <c r="AQ1" s="2"/>
      <c r="AR1" s="2"/>
      <c r="AS1" s="2"/>
      <c r="AT1" s="1" t="s">
        <v>4</v>
      </c>
      <c r="AU1" s="2"/>
      <c r="AV1" s="2"/>
      <c r="AW1" s="2"/>
      <c r="AX1" s="2"/>
      <c r="AY1" s="2"/>
      <c r="AZ1" s="2"/>
      <c r="BA1" s="3"/>
      <c r="BB1" s="1" t="s">
        <v>5</v>
      </c>
      <c r="BC1" s="2"/>
      <c r="BD1" s="2"/>
      <c r="BE1" s="2"/>
      <c r="BF1" s="2"/>
      <c r="BG1" s="3"/>
      <c r="BH1" s="1" t="s">
        <v>6</v>
      </c>
      <c r="BI1" s="2"/>
      <c r="BJ1" s="2"/>
      <c r="BK1" s="2"/>
      <c r="BL1" s="3"/>
    </row>
    <row r="2" spans="1:71" s="8" customFormat="1" ht="45" x14ac:dyDescent="0.25">
      <c r="A2" s="4" t="s">
        <v>7</v>
      </c>
      <c r="B2" s="4" t="s">
        <v>8</v>
      </c>
      <c r="C2" s="4" t="s">
        <v>9</v>
      </c>
      <c r="D2" s="4" t="s">
        <v>10</v>
      </c>
      <c r="E2" s="5" t="s">
        <v>11</v>
      </c>
      <c r="F2" s="5" t="s">
        <v>12</v>
      </c>
      <c r="G2" s="5" t="s">
        <v>13</v>
      </c>
      <c r="H2" s="5" t="s">
        <v>14</v>
      </c>
      <c r="I2" s="5" t="s">
        <v>15</v>
      </c>
      <c r="J2" s="5" t="s">
        <v>16</v>
      </c>
      <c r="K2" s="5" t="s">
        <v>17</v>
      </c>
      <c r="L2" s="6" t="s">
        <v>18</v>
      </c>
      <c r="M2" s="7" t="s">
        <v>19</v>
      </c>
      <c r="N2" s="7" t="s">
        <v>20</v>
      </c>
      <c r="O2" s="7" t="s">
        <v>21</v>
      </c>
      <c r="P2" s="7" t="s">
        <v>22</v>
      </c>
      <c r="Q2" s="7" t="s">
        <v>23</v>
      </c>
      <c r="R2" s="7" t="s">
        <v>24</v>
      </c>
      <c r="S2" s="7" t="s">
        <v>25</v>
      </c>
      <c r="T2" s="7" t="s">
        <v>26</v>
      </c>
      <c r="U2" s="7" t="s">
        <v>27</v>
      </c>
      <c r="V2" s="7" t="s">
        <v>28</v>
      </c>
      <c r="W2" s="4" t="s">
        <v>29</v>
      </c>
      <c r="X2" s="4" t="s">
        <v>30</v>
      </c>
      <c r="Y2" s="7" t="s">
        <v>31</v>
      </c>
      <c r="Z2" s="7" t="s">
        <v>32</v>
      </c>
      <c r="AA2" s="7" t="s">
        <v>33</v>
      </c>
      <c r="AB2" s="7" t="s">
        <v>34</v>
      </c>
      <c r="AC2" s="7" t="s">
        <v>35</v>
      </c>
      <c r="AD2" s="7" t="s">
        <v>36</v>
      </c>
      <c r="AE2" s="7" t="s">
        <v>37</v>
      </c>
      <c r="AF2" s="7" t="s">
        <v>38</v>
      </c>
      <c r="AG2" s="7" t="s">
        <v>39</v>
      </c>
      <c r="AH2" s="7" t="s">
        <v>40</v>
      </c>
      <c r="AI2" s="7" t="s">
        <v>41</v>
      </c>
      <c r="AJ2" s="7" t="s">
        <v>42</v>
      </c>
      <c r="AK2" s="7" t="s">
        <v>43</v>
      </c>
      <c r="AL2" s="7" t="s">
        <v>44</v>
      </c>
      <c r="AM2" s="4" t="s">
        <v>45</v>
      </c>
      <c r="AN2" s="4" t="s">
        <v>46</v>
      </c>
      <c r="AO2" s="4" t="s">
        <v>47</v>
      </c>
      <c r="AP2" s="4" t="s">
        <v>48</v>
      </c>
      <c r="AQ2" s="7" t="s">
        <v>49</v>
      </c>
      <c r="AR2" s="7" t="s">
        <v>50</v>
      </c>
      <c r="AS2" s="7" t="s">
        <v>51</v>
      </c>
      <c r="AT2" s="7" t="s">
        <v>52</v>
      </c>
      <c r="AU2" s="7" t="s">
        <v>53</v>
      </c>
      <c r="AV2" s="7" t="s">
        <v>54</v>
      </c>
      <c r="AW2" s="7" t="s">
        <v>55</v>
      </c>
      <c r="AX2" s="7" t="s">
        <v>56</v>
      </c>
      <c r="AY2" s="7" t="s">
        <v>57</v>
      </c>
      <c r="AZ2" s="7" t="s">
        <v>58</v>
      </c>
      <c r="BA2" s="7" t="s">
        <v>59</v>
      </c>
      <c r="BB2" s="8" t="s">
        <v>60</v>
      </c>
      <c r="BC2" s="8" t="s">
        <v>61</v>
      </c>
      <c r="BD2" s="8" t="s">
        <v>62</v>
      </c>
      <c r="BE2" s="8" t="s">
        <v>63</v>
      </c>
      <c r="BF2" s="8" t="s">
        <v>64</v>
      </c>
      <c r="BG2" s="8" t="s">
        <v>65</v>
      </c>
      <c r="BH2" s="8" t="s">
        <v>66</v>
      </c>
      <c r="BI2" s="4" t="s">
        <v>67</v>
      </c>
      <c r="BJ2" s="8" t="s">
        <v>68</v>
      </c>
      <c r="BK2" s="8" t="s">
        <v>69</v>
      </c>
      <c r="BL2" s="8" t="s">
        <v>70</v>
      </c>
      <c r="BM2" s="7" t="s">
        <v>71</v>
      </c>
      <c r="BN2" s="7" t="s">
        <v>72</v>
      </c>
      <c r="BO2" s="7" t="s">
        <v>73</v>
      </c>
      <c r="BP2" s="9" t="s">
        <v>74</v>
      </c>
      <c r="BQ2" s="7" t="s">
        <v>75</v>
      </c>
      <c r="BR2" s="8" t="s">
        <v>76</v>
      </c>
      <c r="BS2" s="7" t="s">
        <v>77</v>
      </c>
    </row>
    <row r="3" spans="1:71" x14ac:dyDescent="0.25">
      <c r="A3" s="12" t="s">
        <v>92</v>
      </c>
      <c r="B3" s="16" t="s">
        <v>93</v>
      </c>
      <c r="C3" s="12" t="s">
        <v>78</v>
      </c>
      <c r="D3" s="12" t="s">
        <v>79</v>
      </c>
      <c r="E3" s="5">
        <v>45944</v>
      </c>
      <c r="F3" s="5">
        <v>46697</v>
      </c>
      <c r="G3" s="5">
        <v>47063</v>
      </c>
      <c r="H3" s="5"/>
      <c r="I3" s="5"/>
      <c r="J3" s="5"/>
      <c r="K3" s="5">
        <v>47063</v>
      </c>
      <c r="L3" s="5">
        <v>45944</v>
      </c>
      <c r="M3" s="15">
        <v>45967</v>
      </c>
      <c r="N3" s="11">
        <v>21250000</v>
      </c>
      <c r="O3" s="11">
        <v>18150000</v>
      </c>
      <c r="P3" s="13">
        <v>3100000</v>
      </c>
      <c r="Q3" s="12">
        <v>471479</v>
      </c>
      <c r="R3" s="12" t="s">
        <v>91</v>
      </c>
      <c r="S3" s="12" t="s">
        <v>80</v>
      </c>
      <c r="T3" s="12" t="s">
        <v>81</v>
      </c>
      <c r="U3" s="12" t="s">
        <v>81</v>
      </c>
      <c r="V3" s="12" t="s">
        <v>81</v>
      </c>
      <c r="W3" s="12" t="s">
        <v>82</v>
      </c>
      <c r="X3" s="12" t="s">
        <v>83</v>
      </c>
      <c r="Y3" s="17">
        <v>9.1249999999999998E-2</v>
      </c>
      <c r="Z3" s="12" t="s">
        <v>84</v>
      </c>
      <c r="AA3" s="12">
        <v>6</v>
      </c>
      <c r="AB3" s="12">
        <v>0</v>
      </c>
      <c r="AC3" s="12" t="s">
        <v>85</v>
      </c>
      <c r="AD3" s="12" t="s">
        <v>83</v>
      </c>
      <c r="AE3" s="12">
        <v>-2</v>
      </c>
      <c r="AF3" s="12" t="s">
        <v>86</v>
      </c>
      <c r="AG3" s="12">
        <v>0.125</v>
      </c>
      <c r="AH3" s="10">
        <v>0.05</v>
      </c>
      <c r="AI3" s="10">
        <v>3.2500000000000001E-2</v>
      </c>
      <c r="AJ3" s="11"/>
      <c r="AK3" s="10"/>
      <c r="AL3" s="5"/>
      <c r="AM3" s="12" t="s">
        <v>87</v>
      </c>
      <c r="AN3" s="12"/>
      <c r="AO3" s="12"/>
      <c r="AP3" s="12" t="s">
        <v>94</v>
      </c>
      <c r="AQ3" s="12" t="s">
        <v>95</v>
      </c>
      <c r="AR3" s="12" t="s">
        <v>96</v>
      </c>
      <c r="AS3" s="12">
        <v>22209</v>
      </c>
      <c r="AT3" s="11">
        <v>105811.96</v>
      </c>
      <c r="AU3" s="11">
        <v>212500</v>
      </c>
      <c r="AV3" s="11">
        <v>150000</v>
      </c>
      <c r="AW3" s="11">
        <v>25000</v>
      </c>
      <c r="AX3" s="11">
        <v>0</v>
      </c>
      <c r="AY3" s="11">
        <v>0</v>
      </c>
      <c r="AZ3" s="11">
        <v>0</v>
      </c>
      <c r="BA3" s="11">
        <v>6500.09</v>
      </c>
      <c r="BB3" s="12" t="s">
        <v>97</v>
      </c>
      <c r="BC3" s="11">
        <v>100</v>
      </c>
      <c r="BD3" s="12"/>
      <c r="BE3" s="12"/>
      <c r="BF3" s="12"/>
      <c r="BG3" s="12"/>
      <c r="BH3" s="12" t="s">
        <v>98</v>
      </c>
      <c r="BI3" s="12" t="s">
        <v>99</v>
      </c>
      <c r="BJ3" s="12" t="s">
        <v>100</v>
      </c>
      <c r="BK3" s="12" t="s">
        <v>101</v>
      </c>
      <c r="BL3" s="12" t="s">
        <v>88</v>
      </c>
      <c r="BM3" s="12">
        <v>200</v>
      </c>
      <c r="BN3" s="5">
        <v>45944</v>
      </c>
      <c r="BO3" s="5">
        <v>46697</v>
      </c>
      <c r="BP3" s="12"/>
      <c r="BQ3" s="5">
        <v>45961</v>
      </c>
      <c r="BR3" s="11">
        <f>+ROUND(O3*Y3/IF(RIGHT(W3,3)="360",360,IF(RIGHT(W3,3)="365",365,"CHECK")),2)*(M3-BQ3-1)</f>
        <v>23002.600000000002</v>
      </c>
      <c r="BS3" s="12"/>
    </row>
    <row r="4" spans="1:71" x14ac:dyDescent="0.25">
      <c r="A4" s="12" t="s">
        <v>102</v>
      </c>
      <c r="B4" s="16" t="s">
        <v>103</v>
      </c>
      <c r="C4" s="12" t="s">
        <v>78</v>
      </c>
      <c r="D4" s="12" t="s">
        <v>79</v>
      </c>
      <c r="E4" s="5">
        <v>45954</v>
      </c>
      <c r="F4" s="5">
        <v>47063</v>
      </c>
      <c r="G4" s="5">
        <v>47428</v>
      </c>
      <c r="H4" s="5">
        <v>47793</v>
      </c>
      <c r="I4" s="5"/>
      <c r="J4" s="5"/>
      <c r="K4" s="5">
        <v>47793</v>
      </c>
      <c r="L4" s="5">
        <v>45954</v>
      </c>
      <c r="M4" s="15">
        <v>45967</v>
      </c>
      <c r="N4" s="11">
        <v>13550000</v>
      </c>
      <c r="O4" s="11">
        <v>11350000</v>
      </c>
      <c r="P4" s="13">
        <v>2200000</v>
      </c>
      <c r="Q4" s="12">
        <v>471479</v>
      </c>
      <c r="R4" s="12" t="s">
        <v>91</v>
      </c>
      <c r="S4" s="12" t="s">
        <v>80</v>
      </c>
      <c r="T4" s="12" t="s">
        <v>81</v>
      </c>
      <c r="U4" s="12" t="s">
        <v>81</v>
      </c>
      <c r="V4" s="12" t="s">
        <v>81</v>
      </c>
      <c r="W4" s="12" t="s">
        <v>82</v>
      </c>
      <c r="X4" s="12" t="s">
        <v>83</v>
      </c>
      <c r="Y4" s="17">
        <v>7.2500000000000009E-2</v>
      </c>
      <c r="Z4" s="12" t="s">
        <v>84</v>
      </c>
      <c r="AA4" s="12">
        <v>6</v>
      </c>
      <c r="AB4" s="12">
        <v>0</v>
      </c>
      <c r="AC4" s="12" t="s">
        <v>85</v>
      </c>
      <c r="AD4" s="12" t="s">
        <v>83</v>
      </c>
      <c r="AE4" s="12">
        <v>-2</v>
      </c>
      <c r="AF4" s="12" t="s">
        <v>86</v>
      </c>
      <c r="AG4" s="12">
        <v>0.125</v>
      </c>
      <c r="AH4" s="10">
        <v>3.2500000000000001E-2</v>
      </c>
      <c r="AI4" s="10">
        <v>3.2500000000000001E-2</v>
      </c>
      <c r="AJ4" s="11">
        <v>13550000</v>
      </c>
      <c r="AK4" s="10">
        <v>0.02</v>
      </c>
      <c r="AL4" s="5">
        <v>47063</v>
      </c>
      <c r="AM4" s="12" t="s">
        <v>87</v>
      </c>
      <c r="AN4" s="12"/>
      <c r="AO4" s="12"/>
      <c r="AP4" s="12" t="s">
        <v>89</v>
      </c>
      <c r="AQ4" s="12" t="s">
        <v>95</v>
      </c>
      <c r="AR4" s="12" t="s">
        <v>104</v>
      </c>
      <c r="AS4" s="12">
        <v>76013</v>
      </c>
      <c r="AT4" s="11">
        <v>29714.880000000001</v>
      </c>
      <c r="AU4" s="11">
        <v>135500</v>
      </c>
      <c r="AV4" s="11">
        <v>85000</v>
      </c>
      <c r="AW4" s="11">
        <v>5000</v>
      </c>
      <c r="AX4" s="11">
        <v>3500</v>
      </c>
      <c r="AY4" s="11">
        <v>0</v>
      </c>
      <c r="AZ4" s="11">
        <v>0</v>
      </c>
      <c r="BA4" s="11">
        <v>3750</v>
      </c>
      <c r="BB4" s="12" t="s">
        <v>105</v>
      </c>
      <c r="BC4" s="11">
        <v>100</v>
      </c>
      <c r="BD4" s="12"/>
      <c r="BE4" s="12"/>
      <c r="BF4" s="12"/>
      <c r="BG4" s="12"/>
      <c r="BH4" s="12" t="s">
        <v>106</v>
      </c>
      <c r="BI4" s="12" t="s">
        <v>107</v>
      </c>
      <c r="BJ4" s="12" t="s">
        <v>108</v>
      </c>
      <c r="BK4" s="12" t="s">
        <v>109</v>
      </c>
      <c r="BL4" s="12" t="s">
        <v>88</v>
      </c>
      <c r="BM4" s="12">
        <v>200</v>
      </c>
      <c r="BN4" s="5">
        <v>45954</v>
      </c>
      <c r="BO4" s="5">
        <v>47063</v>
      </c>
      <c r="BP4" s="12"/>
      <c r="BQ4" s="5">
        <v>45961</v>
      </c>
      <c r="BR4" s="11">
        <v>11428.800000000001</v>
      </c>
      <c r="BS4" s="12">
        <v>11257535.119999999</v>
      </c>
    </row>
    <row r="5" spans="1:71" x14ac:dyDescent="0.25">
      <c r="A5" t="s">
        <v>110</v>
      </c>
      <c r="B5" s="16" t="s">
        <v>111</v>
      </c>
      <c r="C5" t="s">
        <v>78</v>
      </c>
      <c r="D5" t="s">
        <v>79</v>
      </c>
      <c r="E5" s="5">
        <v>45960</v>
      </c>
      <c r="F5" s="5">
        <v>47063</v>
      </c>
      <c r="G5" s="5">
        <v>47428</v>
      </c>
      <c r="H5" s="5">
        <v>47793</v>
      </c>
      <c r="I5" s="5"/>
      <c r="J5" s="5"/>
      <c r="K5" s="5">
        <v>47793</v>
      </c>
      <c r="L5" s="5">
        <v>45960</v>
      </c>
      <c r="M5" s="15">
        <v>45967</v>
      </c>
      <c r="N5" s="11">
        <v>17500000</v>
      </c>
      <c r="O5" s="11">
        <v>14175000</v>
      </c>
      <c r="P5" s="13">
        <v>3325000</v>
      </c>
      <c r="Q5" s="12">
        <v>471479</v>
      </c>
      <c r="R5" s="12" t="s">
        <v>91</v>
      </c>
      <c r="S5" s="12" t="s">
        <v>80</v>
      </c>
      <c r="T5" s="12" t="s">
        <v>81</v>
      </c>
      <c r="U5" s="12" t="s">
        <v>81</v>
      </c>
      <c r="V5" s="12" t="s">
        <v>81</v>
      </c>
      <c r="W5" s="12" t="s">
        <v>82</v>
      </c>
      <c r="X5" s="12" t="s">
        <v>83</v>
      </c>
      <c r="Y5" s="17">
        <v>6.7500000000000004E-2</v>
      </c>
      <c r="Z5" s="12" t="s">
        <v>84</v>
      </c>
      <c r="AA5" s="12">
        <v>6</v>
      </c>
      <c r="AB5" s="12">
        <v>0</v>
      </c>
      <c r="AC5" s="12" t="s">
        <v>85</v>
      </c>
      <c r="AD5" s="12" t="s">
        <v>83</v>
      </c>
      <c r="AE5" s="12">
        <v>-2</v>
      </c>
      <c r="AF5" s="12" t="s">
        <v>86</v>
      </c>
      <c r="AG5" s="12">
        <v>0.125</v>
      </c>
      <c r="AH5" s="10">
        <v>2.75E-2</v>
      </c>
      <c r="AI5" s="10">
        <v>3.2500000000000001E-2</v>
      </c>
      <c r="AJ5" s="11">
        <v>17500000</v>
      </c>
      <c r="AK5" s="10">
        <v>0.05</v>
      </c>
      <c r="AL5" s="5">
        <v>47063</v>
      </c>
      <c r="AM5" s="12" t="s">
        <v>87</v>
      </c>
      <c r="AN5" s="14"/>
      <c r="AO5" s="14"/>
      <c r="AP5" s="12" t="s">
        <v>112</v>
      </c>
      <c r="AQ5" s="12" t="s">
        <v>113</v>
      </c>
      <c r="AR5" s="12" t="s">
        <v>104</v>
      </c>
      <c r="AS5" s="12">
        <v>75087</v>
      </c>
      <c r="AT5" s="11">
        <v>18604.669999999998</v>
      </c>
      <c r="AU5" s="11">
        <v>175000</v>
      </c>
      <c r="AV5" s="11">
        <v>120000</v>
      </c>
      <c r="AW5" s="11">
        <v>15000</v>
      </c>
      <c r="AX5" s="11">
        <v>3500</v>
      </c>
      <c r="AY5" s="11">
        <v>0</v>
      </c>
      <c r="AZ5" s="11">
        <v>0</v>
      </c>
      <c r="BA5" s="11">
        <v>1567.72</v>
      </c>
      <c r="BB5" s="12" t="s">
        <v>90</v>
      </c>
      <c r="BC5" s="11">
        <v>100</v>
      </c>
      <c r="BD5" s="14"/>
      <c r="BE5" s="14"/>
      <c r="BF5" s="14"/>
      <c r="BG5" s="14"/>
      <c r="BH5" s="12" t="s">
        <v>114</v>
      </c>
      <c r="BI5" s="12" t="s">
        <v>115</v>
      </c>
      <c r="BJ5" s="12" t="s">
        <v>116</v>
      </c>
      <c r="BK5" s="12" t="s">
        <v>117</v>
      </c>
      <c r="BL5" s="12" t="s">
        <v>88</v>
      </c>
      <c r="BM5" s="12">
        <v>200</v>
      </c>
      <c r="BN5" s="5">
        <v>45960</v>
      </c>
      <c r="BO5" s="5">
        <v>47063</v>
      </c>
      <c r="BP5" s="14"/>
      <c r="BQ5" s="5">
        <v>45961</v>
      </c>
      <c r="BR5" s="11">
        <v>13289.05</v>
      </c>
      <c r="BS5" s="11">
        <v>14081327.609999999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31b54463-0dc6-4729-9f0b-886b1c3961cf}" enabled="1" method="Standard" siteId="{3dd59dce-9563-4ed5-b9aa-d0320fb1b440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Originations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FitzGerald</dc:creator>
  <cp:lastModifiedBy>Matthew Ray</cp:lastModifiedBy>
  <dcterms:created xsi:type="dcterms:W3CDTF">2025-10-31T20:26:31Z</dcterms:created>
  <dcterms:modified xsi:type="dcterms:W3CDTF">2025-11-05T19:43:40Z</dcterms:modified>
</cp:coreProperties>
</file>